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■ 26_NE능률_업무폴더_온라인유통\26년 월별 계획 및 실적\"/>
    </mc:Choice>
  </mc:AlternateContent>
  <xr:revisionPtr revIDLastSave="0" documentId="13_ncr:1_{8166F9A8-8BC3-4838-BABF-9B9A192704A7}" xr6:coauthVersionLast="47" xr6:coauthVersionMax="47" xr10:uidLastSave="{00000000-0000-0000-0000-000000000000}"/>
  <bookViews>
    <workbookView xWindow="30285" yWindow="1275" windowWidth="25770" windowHeight="13380" xr2:uid="{372AB101-DDC1-4D0A-9680-BFBF2765E290}"/>
  </bookViews>
  <sheets>
    <sheet name="매출 속성 (2)" sheetId="2" r:id="rId1"/>
    <sheet name="매출 속성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" i="1" l="1"/>
  <c r="AC7" i="1"/>
  <c r="AC4" i="1"/>
  <c r="AB11" i="1"/>
  <c r="AB12" i="1" s="1"/>
  <c r="AB8" i="1"/>
  <c r="AB5" i="1"/>
  <c r="AB14" i="1"/>
  <c r="AB13" i="1"/>
  <c r="Z14" i="1"/>
  <c r="X14" i="1"/>
  <c r="V14" i="1"/>
  <c r="V15" i="1" s="1"/>
  <c r="T14" i="1"/>
  <c r="R14" i="1"/>
  <c r="P14" i="1"/>
  <c r="P15" i="1" s="1"/>
  <c r="N14" i="1"/>
  <c r="L14" i="1"/>
  <c r="Z13" i="1"/>
  <c r="Z15" i="1" s="1"/>
  <c r="X13" i="1"/>
  <c r="V13" i="1"/>
  <c r="T13" i="1"/>
  <c r="T15" i="1" s="1"/>
  <c r="R13" i="1"/>
  <c r="R15" i="1" s="1"/>
  <c r="P13" i="1"/>
  <c r="N13" i="1"/>
  <c r="L13" i="1"/>
  <c r="L10" i="1"/>
  <c r="N10" i="1"/>
  <c r="N12" i="1" s="1"/>
  <c r="Z7" i="1"/>
  <c r="X7" i="1"/>
  <c r="X9" i="1" s="1"/>
  <c r="V7" i="1"/>
  <c r="T7" i="1"/>
  <c r="T9" i="1" s="1"/>
  <c r="R7" i="1"/>
  <c r="R9" i="1" s="1"/>
  <c r="P7" i="1"/>
  <c r="N7" i="1"/>
  <c r="N9" i="1" s="1"/>
  <c r="L7" i="1"/>
  <c r="Z4" i="1"/>
  <c r="X4" i="1"/>
  <c r="V4" i="1"/>
  <c r="V6" i="1" s="1"/>
  <c r="T4" i="1"/>
  <c r="R4" i="1"/>
  <c r="R6" i="1" s="1"/>
  <c r="P4" i="1"/>
  <c r="N4" i="1"/>
  <c r="N6" i="1" s="1"/>
  <c r="L4" i="1"/>
  <c r="L6" i="1" s="1"/>
  <c r="J10" i="1"/>
  <c r="J7" i="1"/>
  <c r="J9" i="1" s="1"/>
  <c r="J14" i="1"/>
  <c r="J13" i="1"/>
  <c r="J15" i="1" s="1"/>
  <c r="J11" i="1"/>
  <c r="J12" i="1" s="1"/>
  <c r="J8" i="1"/>
  <c r="H14" i="1"/>
  <c r="H13" i="1"/>
  <c r="H15" i="1" s="1"/>
  <c r="H11" i="1"/>
  <c r="H8" i="1"/>
  <c r="F11" i="1"/>
  <c r="F8" i="1"/>
  <c r="F14" i="1"/>
  <c r="F13" i="1"/>
  <c r="H10" i="1"/>
  <c r="H7" i="1"/>
  <c r="F10" i="1"/>
  <c r="F12" i="1" s="1"/>
  <c r="F7" i="1"/>
  <c r="F9" i="1" s="1"/>
  <c r="J5" i="1"/>
  <c r="H5" i="1"/>
  <c r="H6" i="1" s="1"/>
  <c r="J4" i="1"/>
  <c r="H4" i="1"/>
  <c r="G15" i="1"/>
  <c r="I15" i="1"/>
  <c r="K15" i="1"/>
  <c r="L15" i="1"/>
  <c r="M15" i="1"/>
  <c r="N15" i="1"/>
  <c r="O15" i="1"/>
  <c r="Q15" i="1"/>
  <c r="S15" i="1"/>
  <c r="U15" i="1"/>
  <c r="W15" i="1"/>
  <c r="Y15" i="1"/>
  <c r="AA15" i="1"/>
  <c r="G12" i="1"/>
  <c r="H12" i="1"/>
  <c r="I12" i="1"/>
  <c r="K12" i="1"/>
  <c r="L12" i="1"/>
  <c r="M12" i="1"/>
  <c r="O12" i="1"/>
  <c r="Q12" i="1"/>
  <c r="S12" i="1"/>
  <c r="U12" i="1"/>
  <c r="W12" i="1"/>
  <c r="Y12" i="1"/>
  <c r="AA12" i="1"/>
  <c r="G9" i="1"/>
  <c r="H9" i="1"/>
  <c r="I9" i="1"/>
  <c r="K9" i="1"/>
  <c r="L9" i="1"/>
  <c r="M9" i="1"/>
  <c r="O9" i="1"/>
  <c r="P9" i="1"/>
  <c r="Q9" i="1"/>
  <c r="S9" i="1"/>
  <c r="U9" i="1"/>
  <c r="V9" i="1"/>
  <c r="W9" i="1"/>
  <c r="Y9" i="1"/>
  <c r="Z9" i="1"/>
  <c r="AA9" i="1"/>
  <c r="F6" i="1"/>
  <c r="G6" i="1"/>
  <c r="I6" i="1"/>
  <c r="J6" i="1"/>
  <c r="K6" i="1"/>
  <c r="M6" i="1"/>
  <c r="O6" i="1"/>
  <c r="P6" i="1"/>
  <c r="Q6" i="1"/>
  <c r="S6" i="1"/>
  <c r="T6" i="1"/>
  <c r="U6" i="1"/>
  <c r="W6" i="1"/>
  <c r="X6" i="1"/>
  <c r="Y6" i="1"/>
  <c r="Z6" i="1"/>
  <c r="AA6" i="1"/>
  <c r="F5" i="1"/>
  <c r="F4" i="1"/>
  <c r="E12" i="1"/>
  <c r="E9" i="1"/>
  <c r="E6" i="1"/>
  <c r="E13" i="1"/>
  <c r="I14" i="1"/>
  <c r="AB9" i="1"/>
  <c r="G14" i="1"/>
  <c r="K14" i="1"/>
  <c r="M14" i="1"/>
  <c r="O14" i="1"/>
  <c r="Q14" i="1"/>
  <c r="S14" i="1"/>
  <c r="U14" i="1"/>
  <c r="W14" i="1"/>
  <c r="Y14" i="1"/>
  <c r="AA14" i="1"/>
  <c r="E14" i="1"/>
  <c r="G13" i="1"/>
  <c r="I13" i="1"/>
  <c r="K13" i="1"/>
  <c r="M13" i="1"/>
  <c r="O13" i="1"/>
  <c r="Q13" i="1"/>
  <c r="S13" i="1"/>
  <c r="U13" i="1"/>
  <c r="W13" i="1"/>
  <c r="Y13" i="1"/>
  <c r="AA13" i="1"/>
  <c r="X15" i="1" l="1"/>
  <c r="P10" i="1"/>
  <c r="R10" i="1" s="1"/>
  <c r="T10" i="1" s="1"/>
  <c r="F15" i="1"/>
  <c r="AB6" i="1"/>
  <c r="E15" i="1"/>
  <c r="AB10" i="1"/>
  <c r="V10" i="1" l="1"/>
  <c r="V12" i="1" s="1"/>
  <c r="T12" i="1"/>
  <c r="P12" i="1"/>
  <c r="R12" i="1"/>
  <c r="AB15" i="1"/>
  <c r="AB7" i="1"/>
  <c r="AB4" i="1"/>
  <c r="X10" i="1" l="1"/>
  <c r="Z10" i="1"/>
  <c r="Z12" i="1" s="1"/>
  <c r="X12" i="1"/>
</calcChain>
</file>

<file path=xl/sharedStrings.xml><?xml version="1.0" encoding="utf-8"?>
<sst xmlns="http://schemas.openxmlformats.org/spreadsheetml/2006/main" count="62" uniqueCount="32">
  <si>
    <t>구분</t>
  </si>
  <si>
    <t>8월</t>
  </si>
  <si>
    <t>9월</t>
  </si>
  <si>
    <t>10월</t>
  </si>
  <si>
    <t>11월</t>
  </si>
  <si>
    <t>12월</t>
  </si>
  <si>
    <t>쿠팡</t>
    <phoneticPr fontId="2" type="noConversion"/>
  </si>
  <si>
    <t>예스24</t>
    <phoneticPr fontId="2" type="noConversion"/>
  </si>
  <si>
    <t>알라딘</t>
    <phoneticPr fontId="2" type="noConversion"/>
  </si>
  <si>
    <t xml:space="preserve">1월 </t>
    <phoneticPr fontId="2" type="noConversion"/>
  </si>
  <si>
    <t xml:space="preserve">2월 </t>
    <phoneticPr fontId="2" type="noConversion"/>
  </si>
  <si>
    <t>3월</t>
  </si>
  <si>
    <t>4월</t>
  </si>
  <si>
    <t>5월</t>
  </si>
  <si>
    <t>6월</t>
  </si>
  <si>
    <t>7월</t>
  </si>
  <si>
    <t>목표 합계</t>
    <phoneticPr fontId="2" type="noConversion"/>
  </si>
  <si>
    <t>실적 합계</t>
    <phoneticPr fontId="2" type="noConversion"/>
  </si>
  <si>
    <t>온라인 채널</t>
    <phoneticPr fontId="2" type="noConversion"/>
  </si>
  <si>
    <t>온라인 채널별 매출 목표/실적</t>
    <phoneticPr fontId="2" type="noConversion"/>
  </si>
  <si>
    <t>달성율</t>
    <phoneticPr fontId="2" type="noConversion"/>
  </si>
  <si>
    <t>%</t>
    <phoneticPr fontId="2" type="noConversion"/>
  </si>
  <si>
    <t>누계</t>
    <phoneticPr fontId="2" type="noConversion"/>
  </si>
  <si>
    <t>연간 누계</t>
    <phoneticPr fontId="2" type="noConversion"/>
  </si>
  <si>
    <t>목표</t>
    <phoneticPr fontId="2" type="noConversion"/>
  </si>
  <si>
    <t>실적</t>
    <phoneticPr fontId="2" type="noConversion"/>
  </si>
  <si>
    <t>예스24 목표</t>
    <phoneticPr fontId="2" type="noConversion"/>
  </si>
  <si>
    <t>예스24 실적</t>
    <phoneticPr fontId="2" type="noConversion"/>
  </si>
  <si>
    <t>알라딘 목표</t>
    <phoneticPr fontId="2" type="noConversion"/>
  </si>
  <si>
    <t>알라딘 실적</t>
    <phoneticPr fontId="2" type="noConversion"/>
  </si>
  <si>
    <t>쿠팡 목표</t>
    <phoneticPr fontId="2" type="noConversion"/>
  </si>
  <si>
    <t>쿠팡 실적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</si>
</sst>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6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1" fontId="3" fillId="3" borderId="1" xfId="1" applyFont="1" applyFill="1" applyBorder="1">
      <alignment vertical="center"/>
    </xf>
    <xf numFmtId="9" fontId="0" fillId="0" borderId="0" xfId="2" applyFont="1">
      <alignment vertical="center"/>
    </xf>
    <xf numFmtId="0" fontId="5" fillId="0" borderId="0" xfId="0" applyFont="1" applyAlignment="1">
      <alignment horizontal="center" vertical="center"/>
    </xf>
    <xf numFmtId="41" fontId="3" fillId="0" borderId="1" xfId="1" applyFont="1" applyFill="1" applyBorder="1">
      <alignment vertical="center"/>
    </xf>
    <xf numFmtId="41" fontId="0" fillId="0" borderId="0" xfId="0" applyNumberFormat="1">
      <alignment vertical="center"/>
    </xf>
    <xf numFmtId="41" fontId="3" fillId="0" borderId="0" xfId="0" applyNumberFormat="1" applyFont="1">
      <alignment vertical="center"/>
    </xf>
    <xf numFmtId="0" fontId="3" fillId="3" borderId="7" xfId="0" applyFont="1" applyFill="1" applyBorder="1" applyAlignment="1">
      <alignment horizontal="center" vertical="center"/>
    </xf>
    <xf numFmtId="9" fontId="3" fillId="0" borderId="1" xfId="2" applyFont="1" applyFill="1" applyBorder="1">
      <alignment vertical="center"/>
    </xf>
    <xf numFmtId="0" fontId="5" fillId="2" borderId="6" xfId="0" applyFont="1" applyFill="1" applyBorder="1" applyAlignment="1">
      <alignment horizontal="center" vertical="center"/>
    </xf>
    <xf numFmtId="41" fontId="3" fillId="3" borderId="6" xfId="1" applyFont="1" applyFill="1" applyBorder="1">
      <alignment vertical="center"/>
    </xf>
    <xf numFmtId="41" fontId="3" fillId="0" borderId="6" xfId="1" applyFont="1" applyFill="1" applyBorder="1">
      <alignment vertical="center"/>
    </xf>
    <xf numFmtId="9" fontId="3" fillId="0" borderId="6" xfId="2" applyFont="1" applyFill="1" applyBorder="1">
      <alignment vertical="center"/>
    </xf>
    <xf numFmtId="41" fontId="5" fillId="0" borderId="6" xfId="1" applyFont="1" applyFill="1" applyBorder="1">
      <alignment vertical="center"/>
    </xf>
    <xf numFmtId="41" fontId="4" fillId="3" borderId="6" xfId="1" applyFont="1" applyFill="1" applyBorder="1">
      <alignment vertical="center"/>
    </xf>
    <xf numFmtId="41" fontId="4" fillId="0" borderId="6" xfId="1" applyFont="1" applyFill="1" applyBorder="1">
      <alignment vertical="center"/>
    </xf>
    <xf numFmtId="0" fontId="5" fillId="2" borderId="8" xfId="0" applyFont="1" applyFill="1" applyBorder="1" applyAlignment="1">
      <alignment horizontal="center" vertical="center"/>
    </xf>
    <xf numFmtId="41" fontId="3" fillId="3" borderId="8" xfId="1" applyFont="1" applyFill="1" applyBorder="1">
      <alignment vertical="center"/>
    </xf>
    <xf numFmtId="41" fontId="3" fillId="0" borderId="8" xfId="1" applyFont="1" applyFill="1" applyBorder="1">
      <alignment vertical="center"/>
    </xf>
    <xf numFmtId="9" fontId="3" fillId="0" borderId="8" xfId="2" applyFont="1" applyFill="1" applyBorder="1">
      <alignment vertical="center"/>
    </xf>
    <xf numFmtId="41" fontId="5" fillId="0" borderId="8" xfId="1" applyFont="1" applyFill="1" applyBorder="1">
      <alignment vertical="center"/>
    </xf>
    <xf numFmtId="41" fontId="4" fillId="0" borderId="8" xfId="1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1" fontId="5" fillId="6" borderId="6" xfId="1" applyFont="1" applyFill="1" applyBorder="1">
      <alignment vertical="center"/>
    </xf>
    <xf numFmtId="41" fontId="5" fillId="6" borderId="8" xfId="1" applyFont="1" applyFill="1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41" fontId="3" fillId="7" borderId="1" xfId="1" applyFont="1" applyFill="1" applyBorder="1">
      <alignment vertical="center"/>
    </xf>
    <xf numFmtId="41" fontId="4" fillId="0" borderId="1" xfId="1" applyFont="1" applyFill="1" applyBorder="1">
      <alignment vertical="center"/>
    </xf>
    <xf numFmtId="41" fontId="4" fillId="7" borderId="1" xfId="1" applyFont="1" applyFill="1" applyBorder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C98D-3AA8-41E9-86D6-2B57E0D38592}">
  <dimension ref="A1:M10"/>
  <sheetViews>
    <sheetView tabSelected="1" zoomScale="85" zoomScaleNormal="85" workbookViewId="0">
      <selection activeCell="E15" sqref="E15"/>
    </sheetView>
  </sheetViews>
  <sheetFormatPr defaultRowHeight="16.5" x14ac:dyDescent="0.3"/>
  <cols>
    <col min="1" max="1" width="15" bestFit="1" customWidth="1"/>
    <col min="2" max="13" width="13.75" customWidth="1"/>
  </cols>
  <sheetData>
    <row r="1" spans="1:13" ht="27.75" customHeight="1" x14ac:dyDescent="0.3">
      <c r="A1" s="1"/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</row>
    <row r="2" spans="1:13" ht="20.100000000000001" customHeight="1" x14ac:dyDescent="0.3">
      <c r="A2" s="41" t="s">
        <v>26</v>
      </c>
      <c r="B2" s="6">
        <v>323885509.5144943</v>
      </c>
      <c r="C2" s="6">
        <v>328474793.34985936</v>
      </c>
      <c r="D2" s="6">
        <v>484837790.03275603</v>
      </c>
      <c r="E2" s="6">
        <v>72579540.236944616</v>
      </c>
      <c r="F2" s="6">
        <v>108555019.68398273</v>
      </c>
      <c r="G2" s="6">
        <v>94859436.079515591</v>
      </c>
      <c r="H2" s="6">
        <v>527882352.31940538</v>
      </c>
      <c r="I2" s="6">
        <v>137061690.02165931</v>
      </c>
      <c r="J2" s="6">
        <v>133679929.49342404</v>
      </c>
      <c r="K2" s="6">
        <v>156540913.95159677</v>
      </c>
      <c r="L2" s="6">
        <v>443550555.37779254</v>
      </c>
      <c r="M2" s="6">
        <v>399026448.29186881</v>
      </c>
    </row>
    <row r="3" spans="1:13" ht="20.100000000000001" customHeight="1" x14ac:dyDescent="0.3">
      <c r="A3" s="41" t="s">
        <v>27</v>
      </c>
      <c r="B3" s="42">
        <v>315669765</v>
      </c>
      <c r="C3" s="42">
        <v>307671200</v>
      </c>
      <c r="D3" s="42">
        <v>207081610</v>
      </c>
      <c r="E3" s="42">
        <v>0</v>
      </c>
      <c r="F3" s="42">
        <v>0</v>
      </c>
      <c r="G3" s="42">
        <v>0</v>
      </c>
      <c r="H3" s="42">
        <v>0</v>
      </c>
      <c r="I3" s="42">
        <v>0</v>
      </c>
      <c r="J3" s="42">
        <v>0</v>
      </c>
      <c r="K3" s="42">
        <v>0</v>
      </c>
      <c r="L3" s="42">
        <v>0</v>
      </c>
      <c r="M3" s="42">
        <v>0</v>
      </c>
    </row>
    <row r="4" spans="1:13" ht="20.100000000000001" customHeight="1" x14ac:dyDescent="0.3">
      <c r="A4" s="41" t="s">
        <v>28</v>
      </c>
      <c r="B4" s="6">
        <v>127692825.32389855</v>
      </c>
      <c r="C4" s="6">
        <v>139606795.6624501</v>
      </c>
      <c r="D4" s="6">
        <v>133595851.58057985</v>
      </c>
      <c r="E4" s="6">
        <v>60542276.327564515</v>
      </c>
      <c r="F4" s="6">
        <v>68712861.239637017</v>
      </c>
      <c r="G4" s="6">
        <v>132014905.2299322</v>
      </c>
      <c r="H4" s="6">
        <v>84336616.199269488</v>
      </c>
      <c r="I4" s="6">
        <v>84722872.420266837</v>
      </c>
      <c r="J4" s="6">
        <v>79758266.521509796</v>
      </c>
      <c r="K4" s="6">
        <v>103069602.14326829</v>
      </c>
      <c r="L4" s="6">
        <v>96299824.407000348</v>
      </c>
      <c r="M4" s="6">
        <v>187374602.2090821</v>
      </c>
    </row>
    <row r="5" spans="1:13" ht="20.100000000000001" customHeight="1" x14ac:dyDescent="0.3">
      <c r="A5" s="41" t="s">
        <v>29</v>
      </c>
      <c r="B5" s="42">
        <v>124437728</v>
      </c>
      <c r="C5" s="42">
        <v>90613312</v>
      </c>
      <c r="D5" s="42">
        <v>75975344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42">
        <v>0</v>
      </c>
      <c r="K5" s="42">
        <v>0</v>
      </c>
      <c r="L5" s="42">
        <v>0</v>
      </c>
      <c r="M5" s="42">
        <v>0</v>
      </c>
    </row>
    <row r="6" spans="1:13" ht="20.100000000000001" customHeight="1" x14ac:dyDescent="0.3">
      <c r="A6" s="41" t="s">
        <v>30</v>
      </c>
      <c r="B6" s="6">
        <v>154487030.84519705</v>
      </c>
      <c r="C6" s="6">
        <v>221337540.28699806</v>
      </c>
      <c r="D6" s="6">
        <v>183442738.60738763</v>
      </c>
      <c r="E6" s="6">
        <v>370659688.91864061</v>
      </c>
      <c r="F6" s="6">
        <v>131985130.27563205</v>
      </c>
      <c r="G6" s="43">
        <v>394786021.99495518</v>
      </c>
      <c r="H6" s="43">
        <v>356113852.83867455</v>
      </c>
      <c r="I6" s="43">
        <v>633076526.71854794</v>
      </c>
      <c r="J6" s="43">
        <v>197086680.85687456</v>
      </c>
      <c r="K6" s="43">
        <v>215347577.16981396</v>
      </c>
      <c r="L6" s="43">
        <v>356618433.32053941</v>
      </c>
      <c r="M6" s="43">
        <v>466482667.94791228</v>
      </c>
    </row>
    <row r="7" spans="1:13" ht="20.100000000000001" customHeight="1" x14ac:dyDescent="0.3">
      <c r="A7" s="41" t="s">
        <v>31</v>
      </c>
      <c r="B7" s="42">
        <v>165219300</v>
      </c>
      <c r="C7" s="42">
        <v>732995100</v>
      </c>
      <c r="D7" s="42">
        <v>32472600</v>
      </c>
      <c r="E7" s="42">
        <v>0</v>
      </c>
      <c r="F7" s="42">
        <v>0</v>
      </c>
      <c r="G7" s="44"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</row>
    <row r="8" spans="1:13" x14ac:dyDescent="0.3">
      <c r="B8" s="8"/>
      <c r="C8" s="7"/>
    </row>
    <row r="9" spans="1:13" x14ac:dyDescent="0.3">
      <c r="B9" s="8"/>
      <c r="C9" s="8"/>
      <c r="D9" s="7"/>
    </row>
    <row r="10" spans="1:13" x14ac:dyDescent="0.3">
      <c r="B10" s="8"/>
      <c r="D10" s="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FCC0-9BEF-47BD-BB94-D168C01626B1}">
  <dimension ref="B1:AC18"/>
  <sheetViews>
    <sheetView workbookViewId="0">
      <selection activeCell="H11" sqref="H11"/>
    </sheetView>
  </sheetViews>
  <sheetFormatPr defaultRowHeight="16.5" x14ac:dyDescent="0.3"/>
  <cols>
    <col min="1" max="1" width="2.75" customWidth="1"/>
    <col min="2" max="2" width="14" customWidth="1"/>
    <col min="3" max="3" width="15" bestFit="1" customWidth="1"/>
    <col min="5" max="27" width="13.75" customWidth="1"/>
    <col min="28" max="28" width="15.375" bestFit="1" customWidth="1"/>
  </cols>
  <sheetData>
    <row r="1" spans="2:29" ht="38.25" customHeight="1" x14ac:dyDescent="0.3">
      <c r="B1" s="30" t="s">
        <v>19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2:29" ht="9.75" customHeight="1" x14ac:dyDescent="0.3"/>
    <row r="3" spans="2:29" ht="27.75" customHeight="1" x14ac:dyDescent="0.3">
      <c r="B3" s="31" t="s">
        <v>0</v>
      </c>
      <c r="C3" s="31"/>
      <c r="D3" s="32"/>
      <c r="E3" s="11" t="s">
        <v>9</v>
      </c>
      <c r="F3" s="18" t="s">
        <v>22</v>
      </c>
      <c r="G3" s="11" t="s">
        <v>10</v>
      </c>
      <c r="H3" s="18" t="s">
        <v>22</v>
      </c>
      <c r="I3" s="11" t="s">
        <v>11</v>
      </c>
      <c r="J3" s="18" t="s">
        <v>22</v>
      </c>
      <c r="K3" s="11" t="s">
        <v>12</v>
      </c>
      <c r="L3" s="18" t="s">
        <v>22</v>
      </c>
      <c r="M3" s="11" t="s">
        <v>13</v>
      </c>
      <c r="N3" s="18" t="s">
        <v>22</v>
      </c>
      <c r="O3" s="11" t="s">
        <v>14</v>
      </c>
      <c r="P3" s="18" t="s">
        <v>22</v>
      </c>
      <c r="Q3" s="11" t="s">
        <v>15</v>
      </c>
      <c r="R3" s="18" t="s">
        <v>22</v>
      </c>
      <c r="S3" s="11" t="s">
        <v>1</v>
      </c>
      <c r="T3" s="18" t="s">
        <v>22</v>
      </c>
      <c r="U3" s="11" t="s">
        <v>2</v>
      </c>
      <c r="V3" s="18" t="s">
        <v>22</v>
      </c>
      <c r="W3" s="11" t="s">
        <v>3</v>
      </c>
      <c r="X3" s="18" t="s">
        <v>22</v>
      </c>
      <c r="Y3" s="11" t="s">
        <v>4</v>
      </c>
      <c r="Z3" s="18" t="s">
        <v>22</v>
      </c>
      <c r="AA3" s="11" t="s">
        <v>5</v>
      </c>
      <c r="AB3" s="1" t="s">
        <v>23</v>
      </c>
    </row>
    <row r="4" spans="2:29" ht="20.100000000000001" customHeight="1" x14ac:dyDescent="0.3">
      <c r="B4" s="38" t="s">
        <v>18</v>
      </c>
      <c r="C4" s="28" t="s">
        <v>7</v>
      </c>
      <c r="D4" s="24" t="s">
        <v>24</v>
      </c>
      <c r="E4" s="12">
        <v>323885509.5144943</v>
      </c>
      <c r="F4" s="19">
        <f>E4</f>
        <v>323885509.5144943</v>
      </c>
      <c r="G4" s="12">
        <v>328474793.34985936</v>
      </c>
      <c r="H4" s="19">
        <f>F4+G4</f>
        <v>652360302.86435366</v>
      </c>
      <c r="I4" s="12">
        <v>484837790.03275603</v>
      </c>
      <c r="J4" s="19">
        <f>H4+I4</f>
        <v>1137198092.8971097</v>
      </c>
      <c r="K4" s="12">
        <v>72579540.236944616</v>
      </c>
      <c r="L4" s="19">
        <f>J4+K4</f>
        <v>1209777633.1340544</v>
      </c>
      <c r="M4" s="12">
        <v>108555019.68398273</v>
      </c>
      <c r="N4" s="19">
        <f>L4+M4</f>
        <v>1318332652.818037</v>
      </c>
      <c r="O4" s="12">
        <v>94859436.079515591</v>
      </c>
      <c r="P4" s="19">
        <f>N4+O4</f>
        <v>1413192088.8975527</v>
      </c>
      <c r="Q4" s="12">
        <v>527882352.31940538</v>
      </c>
      <c r="R4" s="19">
        <f>P4+Q4</f>
        <v>1941074441.216958</v>
      </c>
      <c r="S4" s="12">
        <v>137061690.02165931</v>
      </c>
      <c r="T4" s="19">
        <f>R4+S4</f>
        <v>2078136131.2386174</v>
      </c>
      <c r="U4" s="12">
        <v>133679929.49342404</v>
      </c>
      <c r="V4" s="19">
        <f>T4+U4</f>
        <v>2211816060.7320414</v>
      </c>
      <c r="W4" s="12">
        <v>156540913.95159677</v>
      </c>
      <c r="X4" s="19">
        <f>V4+W4</f>
        <v>2368356974.6836381</v>
      </c>
      <c r="Y4" s="12">
        <v>443550555.37779254</v>
      </c>
      <c r="Z4" s="19">
        <f>X4+Y4</f>
        <v>2811907530.0614305</v>
      </c>
      <c r="AA4" s="12">
        <v>399026448.29186881</v>
      </c>
      <c r="AB4" s="3">
        <f>E4+G4+I4+K4+M4+O4+Q4+S4+U4+W4+Y4+AA4</f>
        <v>3210933978.3532991</v>
      </c>
      <c r="AC4" s="4">
        <f>AB4/AB13</f>
        <v>0.39205135389001722</v>
      </c>
    </row>
    <row r="5" spans="2:29" ht="20.100000000000001" customHeight="1" x14ac:dyDescent="0.3">
      <c r="B5" s="39"/>
      <c r="C5" s="29"/>
      <c r="D5" s="25" t="s">
        <v>25</v>
      </c>
      <c r="E5" s="13">
        <v>320260860</v>
      </c>
      <c r="F5" s="20">
        <f>E5</f>
        <v>320260860</v>
      </c>
      <c r="G5" s="13">
        <v>307837600</v>
      </c>
      <c r="H5" s="20">
        <f>F5+G5</f>
        <v>628098460</v>
      </c>
      <c r="I5" s="13">
        <v>207081610</v>
      </c>
      <c r="J5" s="20">
        <f>H5+I5</f>
        <v>835180070</v>
      </c>
      <c r="K5" s="13">
        <v>0</v>
      </c>
      <c r="L5" s="20"/>
      <c r="M5" s="13">
        <v>0</v>
      </c>
      <c r="N5" s="20"/>
      <c r="O5" s="13">
        <v>0</v>
      </c>
      <c r="P5" s="20"/>
      <c r="Q5" s="13">
        <v>0</v>
      </c>
      <c r="R5" s="20"/>
      <c r="S5" s="13">
        <v>0</v>
      </c>
      <c r="T5" s="20"/>
      <c r="U5" s="13">
        <v>0</v>
      </c>
      <c r="V5" s="20"/>
      <c r="W5" s="13">
        <v>0</v>
      </c>
      <c r="X5" s="20"/>
      <c r="Y5" s="13">
        <v>0</v>
      </c>
      <c r="Z5" s="20"/>
      <c r="AA5" s="13">
        <v>0</v>
      </c>
      <c r="AB5" s="6">
        <f>E5+G5+I5+K5+M5+O5+Q5+S5+U5+W5+Y5+AA5</f>
        <v>835180070</v>
      </c>
      <c r="AC5" s="4"/>
    </row>
    <row r="6" spans="2:29" ht="20.100000000000001" customHeight="1" x14ac:dyDescent="0.3">
      <c r="B6" s="39"/>
      <c r="C6" s="9" t="s">
        <v>20</v>
      </c>
      <c r="D6" s="25" t="s">
        <v>21</v>
      </c>
      <c r="E6" s="14">
        <f>E5/E4</f>
        <v>0.98880885557391052</v>
      </c>
      <c r="F6" s="21">
        <f t="shared" ref="F6:AB6" si="0">F5/F4</f>
        <v>0.98880885557391052</v>
      </c>
      <c r="G6" s="14">
        <f t="shared" si="0"/>
        <v>0.93717267270527327</v>
      </c>
      <c r="H6" s="21">
        <f t="shared" si="0"/>
        <v>0.96280913667213364</v>
      </c>
      <c r="I6" s="14">
        <f t="shared" si="0"/>
        <v>0.42711524195754091</v>
      </c>
      <c r="J6" s="21">
        <f t="shared" si="0"/>
        <v>0.73441916163639276</v>
      </c>
      <c r="K6" s="14">
        <f t="shared" si="0"/>
        <v>0</v>
      </c>
      <c r="L6" s="21">
        <f t="shared" si="0"/>
        <v>0</v>
      </c>
      <c r="M6" s="14">
        <f t="shared" si="0"/>
        <v>0</v>
      </c>
      <c r="N6" s="21">
        <f t="shared" si="0"/>
        <v>0</v>
      </c>
      <c r="O6" s="14">
        <f t="shared" si="0"/>
        <v>0</v>
      </c>
      <c r="P6" s="21">
        <f t="shared" si="0"/>
        <v>0</v>
      </c>
      <c r="Q6" s="14">
        <f t="shared" si="0"/>
        <v>0</v>
      </c>
      <c r="R6" s="21">
        <f t="shared" si="0"/>
        <v>0</v>
      </c>
      <c r="S6" s="14">
        <f t="shared" si="0"/>
        <v>0</v>
      </c>
      <c r="T6" s="21">
        <f t="shared" si="0"/>
        <v>0</v>
      </c>
      <c r="U6" s="14">
        <f t="shared" si="0"/>
        <v>0</v>
      </c>
      <c r="V6" s="21">
        <f t="shared" si="0"/>
        <v>0</v>
      </c>
      <c r="W6" s="14">
        <f t="shared" si="0"/>
        <v>0</v>
      </c>
      <c r="X6" s="21">
        <f t="shared" si="0"/>
        <v>0</v>
      </c>
      <c r="Y6" s="14">
        <f t="shared" si="0"/>
        <v>0</v>
      </c>
      <c r="Z6" s="21">
        <f t="shared" si="0"/>
        <v>0</v>
      </c>
      <c r="AA6" s="14">
        <f t="shared" si="0"/>
        <v>0</v>
      </c>
      <c r="AB6" s="10">
        <f t="shared" si="0"/>
        <v>0.26010502726945361</v>
      </c>
      <c r="AC6" s="4"/>
    </row>
    <row r="7" spans="2:29" ht="20.100000000000001" customHeight="1" x14ac:dyDescent="0.3">
      <c r="B7" s="39"/>
      <c r="C7" s="28" t="s">
        <v>8</v>
      </c>
      <c r="D7" s="24" t="s">
        <v>24</v>
      </c>
      <c r="E7" s="12">
        <v>127692825.32389855</v>
      </c>
      <c r="F7" s="19">
        <f>E7</f>
        <v>127692825.32389855</v>
      </c>
      <c r="G7" s="12">
        <v>139606795.6624501</v>
      </c>
      <c r="H7" s="19">
        <f>F7+G7</f>
        <v>267299620.98634866</v>
      </c>
      <c r="I7" s="12">
        <v>133595851.58057985</v>
      </c>
      <c r="J7" s="19">
        <f>H7+I7</f>
        <v>400895472.56692851</v>
      </c>
      <c r="K7" s="12">
        <v>60542276.327564515</v>
      </c>
      <c r="L7" s="19">
        <f>J7+K7</f>
        <v>461437748.89449304</v>
      </c>
      <c r="M7" s="12">
        <v>68712861.239637017</v>
      </c>
      <c r="N7" s="19">
        <f>L7+M7</f>
        <v>530150610.13413006</v>
      </c>
      <c r="O7" s="12">
        <v>132014905.2299322</v>
      </c>
      <c r="P7" s="19">
        <f>N7+O7</f>
        <v>662165515.36406231</v>
      </c>
      <c r="Q7" s="12">
        <v>84336616.199269488</v>
      </c>
      <c r="R7" s="19">
        <f>P7+Q7</f>
        <v>746502131.56333184</v>
      </c>
      <c r="S7" s="12">
        <v>84722872.420266837</v>
      </c>
      <c r="T7" s="19">
        <f>R7+S7</f>
        <v>831225003.98359871</v>
      </c>
      <c r="U7" s="12">
        <v>79758266.521509796</v>
      </c>
      <c r="V7" s="19">
        <f>T7+U7</f>
        <v>910983270.50510848</v>
      </c>
      <c r="W7" s="12">
        <v>103069602.14326829</v>
      </c>
      <c r="X7" s="19">
        <f>V7+W7</f>
        <v>1014052872.6483767</v>
      </c>
      <c r="Y7" s="12">
        <v>96299824.407000348</v>
      </c>
      <c r="Z7" s="19">
        <f>X7+Y7</f>
        <v>1110352697.055377</v>
      </c>
      <c r="AA7" s="12">
        <v>187374602.2090821</v>
      </c>
      <c r="AB7" s="3">
        <f>E7+G7+I7+K7+M7+O7+Q7+S7+U7+W7+Y7+AA7</f>
        <v>1297727299.2644591</v>
      </c>
      <c r="AC7" s="4">
        <f>AB7/AB13</f>
        <v>0.15845101396871081</v>
      </c>
    </row>
    <row r="8" spans="2:29" ht="20.100000000000001" customHeight="1" x14ac:dyDescent="0.3">
      <c r="B8" s="39"/>
      <c r="C8" s="29"/>
      <c r="D8" s="25" t="s">
        <v>25</v>
      </c>
      <c r="E8" s="13">
        <v>128564528</v>
      </c>
      <c r="F8" s="20">
        <f>E8</f>
        <v>128564528</v>
      </c>
      <c r="G8" s="13">
        <v>90638012</v>
      </c>
      <c r="H8" s="20">
        <f>F8+G8</f>
        <v>219202540</v>
      </c>
      <c r="I8" s="13">
        <v>75975344</v>
      </c>
      <c r="J8" s="20">
        <f>H8+I8</f>
        <v>295177884</v>
      </c>
      <c r="K8" s="13">
        <v>0</v>
      </c>
      <c r="L8" s="20"/>
      <c r="M8" s="13">
        <v>0</v>
      </c>
      <c r="N8" s="20"/>
      <c r="O8" s="13">
        <v>0</v>
      </c>
      <c r="P8" s="20"/>
      <c r="Q8" s="13">
        <v>0</v>
      </c>
      <c r="R8" s="20"/>
      <c r="S8" s="13">
        <v>0</v>
      </c>
      <c r="T8" s="20"/>
      <c r="U8" s="13">
        <v>0</v>
      </c>
      <c r="V8" s="20"/>
      <c r="W8" s="13">
        <v>0</v>
      </c>
      <c r="X8" s="20"/>
      <c r="Y8" s="13">
        <v>0</v>
      </c>
      <c r="Z8" s="20"/>
      <c r="AA8" s="13">
        <v>0</v>
      </c>
      <c r="AB8" s="6">
        <f>E8+G8+I8+K8+M8+O8+Q8+S8+U8+W8+Y8+AA8</f>
        <v>295177884</v>
      </c>
      <c r="AC8" s="4"/>
    </row>
    <row r="9" spans="2:29" ht="20.100000000000001" customHeight="1" x14ac:dyDescent="0.3">
      <c r="B9" s="39"/>
      <c r="C9" s="9" t="s">
        <v>20</v>
      </c>
      <c r="D9" s="25" t="s">
        <v>21</v>
      </c>
      <c r="E9" s="14">
        <f>E8/E7</f>
        <v>1.0068265595493744</v>
      </c>
      <c r="F9" s="21">
        <f t="shared" ref="F9:AB9" si="1">F8/F7</f>
        <v>1.0068265595493744</v>
      </c>
      <c r="G9" s="14">
        <f t="shared" si="1"/>
        <v>0.64923782234175875</v>
      </c>
      <c r="H9" s="21">
        <f t="shared" si="1"/>
        <v>0.82006304083459569</v>
      </c>
      <c r="I9" s="14">
        <f t="shared" si="1"/>
        <v>0.56869538313601464</v>
      </c>
      <c r="J9" s="21">
        <f t="shared" si="1"/>
        <v>0.73629637698320671</v>
      </c>
      <c r="K9" s="14">
        <f t="shared" si="1"/>
        <v>0</v>
      </c>
      <c r="L9" s="21">
        <f t="shared" si="1"/>
        <v>0</v>
      </c>
      <c r="M9" s="14">
        <f t="shared" si="1"/>
        <v>0</v>
      </c>
      <c r="N9" s="21">
        <f t="shared" si="1"/>
        <v>0</v>
      </c>
      <c r="O9" s="14">
        <f t="shared" si="1"/>
        <v>0</v>
      </c>
      <c r="P9" s="21">
        <f t="shared" si="1"/>
        <v>0</v>
      </c>
      <c r="Q9" s="14">
        <f t="shared" si="1"/>
        <v>0</v>
      </c>
      <c r="R9" s="21">
        <f t="shared" si="1"/>
        <v>0</v>
      </c>
      <c r="S9" s="14">
        <f t="shared" si="1"/>
        <v>0</v>
      </c>
      <c r="T9" s="21">
        <f t="shared" si="1"/>
        <v>0</v>
      </c>
      <c r="U9" s="14">
        <f t="shared" si="1"/>
        <v>0</v>
      </c>
      <c r="V9" s="21">
        <f t="shared" si="1"/>
        <v>0</v>
      </c>
      <c r="W9" s="14">
        <f t="shared" si="1"/>
        <v>0</v>
      </c>
      <c r="X9" s="21">
        <f t="shared" si="1"/>
        <v>0</v>
      </c>
      <c r="Y9" s="14">
        <f t="shared" si="1"/>
        <v>0</v>
      </c>
      <c r="Z9" s="21">
        <f t="shared" si="1"/>
        <v>0</v>
      </c>
      <c r="AA9" s="14">
        <f t="shared" si="1"/>
        <v>0</v>
      </c>
      <c r="AB9" s="10">
        <f t="shared" si="1"/>
        <v>0.22745755920161681</v>
      </c>
      <c r="AC9" s="4"/>
    </row>
    <row r="10" spans="2:29" ht="20.100000000000001" customHeight="1" x14ac:dyDescent="0.3">
      <c r="B10" s="39"/>
      <c r="C10" s="28" t="s">
        <v>6</v>
      </c>
      <c r="D10" s="24" t="s">
        <v>24</v>
      </c>
      <c r="E10" s="12">
        <v>154487030.84519705</v>
      </c>
      <c r="F10" s="19">
        <f>E10</f>
        <v>154487030.84519705</v>
      </c>
      <c r="G10" s="12">
        <v>221337540.28699806</v>
      </c>
      <c r="H10" s="19">
        <f>F10+G10</f>
        <v>375824571.13219512</v>
      </c>
      <c r="I10" s="12">
        <v>183442738.60738763</v>
      </c>
      <c r="J10" s="19">
        <f>H10+I10</f>
        <v>559267309.73958278</v>
      </c>
      <c r="K10" s="12">
        <v>370659688.91864061</v>
      </c>
      <c r="L10" s="19">
        <f>J10+K10</f>
        <v>929926998.65822339</v>
      </c>
      <c r="M10" s="12">
        <v>131985130.27563205</v>
      </c>
      <c r="N10" s="19">
        <f>L10+M10</f>
        <v>1061912128.9338554</v>
      </c>
      <c r="O10" s="16">
        <v>394786021.99495518</v>
      </c>
      <c r="P10" s="19">
        <f>N10+O10</f>
        <v>1456698150.9288106</v>
      </c>
      <c r="Q10" s="16">
        <v>356113852.83867455</v>
      </c>
      <c r="R10" s="19">
        <f>P10+Q10</f>
        <v>1812812003.7674851</v>
      </c>
      <c r="S10" s="16">
        <v>633076526.71854794</v>
      </c>
      <c r="T10" s="19">
        <f>R10+S10</f>
        <v>2445888530.486033</v>
      </c>
      <c r="U10" s="16">
        <v>197086680.85687456</v>
      </c>
      <c r="V10" s="19">
        <f>T10+U10</f>
        <v>2642975211.3429074</v>
      </c>
      <c r="W10" s="16">
        <v>215347577.16981396</v>
      </c>
      <c r="X10" s="19">
        <f>V10+W10</f>
        <v>2858322788.5127215</v>
      </c>
      <c r="Y10" s="16">
        <v>356618433.32053941</v>
      </c>
      <c r="Z10" s="19">
        <f>X10+Y10</f>
        <v>3214941221.833261</v>
      </c>
      <c r="AA10" s="16">
        <v>466482667.94791228</v>
      </c>
      <c r="AB10" s="3">
        <f>E10+G10+I10+K10+M10+O10+Q10+S10+U10+W10+Y10+AA10</f>
        <v>3681423889.7811732</v>
      </c>
      <c r="AC10" s="4">
        <f>AB10/AB13</f>
        <v>0.44949763214127209</v>
      </c>
    </row>
    <row r="11" spans="2:29" ht="20.100000000000001" customHeight="1" x14ac:dyDescent="0.3">
      <c r="B11" s="39"/>
      <c r="C11" s="29"/>
      <c r="D11" s="25" t="s">
        <v>25</v>
      </c>
      <c r="E11" s="13">
        <v>165219300</v>
      </c>
      <c r="F11" s="20">
        <f>E11</f>
        <v>165219300</v>
      </c>
      <c r="G11" s="13">
        <v>732995100</v>
      </c>
      <c r="H11" s="20">
        <f>F11+G11</f>
        <v>898214400</v>
      </c>
      <c r="I11" s="13">
        <v>32472600</v>
      </c>
      <c r="J11" s="20">
        <f>H11+I11</f>
        <v>930687000</v>
      </c>
      <c r="K11" s="13">
        <v>0</v>
      </c>
      <c r="L11" s="20"/>
      <c r="M11" s="13">
        <v>0</v>
      </c>
      <c r="N11" s="20"/>
      <c r="O11" s="17">
        <v>0</v>
      </c>
      <c r="P11" s="23"/>
      <c r="Q11" s="17">
        <v>0</v>
      </c>
      <c r="R11" s="23"/>
      <c r="S11" s="17">
        <v>0</v>
      </c>
      <c r="T11" s="23"/>
      <c r="U11" s="17">
        <v>0</v>
      </c>
      <c r="V11" s="23"/>
      <c r="W11" s="17">
        <v>0</v>
      </c>
      <c r="X11" s="23"/>
      <c r="Y11" s="17">
        <v>0</v>
      </c>
      <c r="Z11" s="23"/>
      <c r="AA11" s="17">
        <v>0</v>
      </c>
      <c r="AB11" s="6">
        <f>E11+G11+I11+K11+M11+O11+Q11+S11+U11+W11+Y11+AA11</f>
        <v>930687000</v>
      </c>
    </row>
    <row r="12" spans="2:29" ht="20.100000000000001" customHeight="1" x14ac:dyDescent="0.3">
      <c r="B12" s="40"/>
      <c r="C12" s="2" t="s">
        <v>20</v>
      </c>
      <c r="D12" s="25" t="s">
        <v>21</v>
      </c>
      <c r="E12" s="14">
        <f>E11/E10</f>
        <v>1.0694703568065669</v>
      </c>
      <c r="F12" s="21">
        <f t="shared" ref="F12:AB12" si="2">F11/F10</f>
        <v>1.0694703568065669</v>
      </c>
      <c r="G12" s="14">
        <f t="shared" si="2"/>
        <v>3.3116619035774928</v>
      </c>
      <c r="H12" s="21">
        <f t="shared" si="2"/>
        <v>2.3899831703235175</v>
      </c>
      <c r="I12" s="14">
        <f t="shared" si="2"/>
        <v>0.17701763638352191</v>
      </c>
      <c r="J12" s="21">
        <f t="shared" si="2"/>
        <v>1.6641183630657137</v>
      </c>
      <c r="K12" s="14">
        <f t="shared" si="2"/>
        <v>0</v>
      </c>
      <c r="L12" s="21">
        <f t="shared" si="2"/>
        <v>0</v>
      </c>
      <c r="M12" s="14">
        <f t="shared" si="2"/>
        <v>0</v>
      </c>
      <c r="N12" s="21">
        <f t="shared" si="2"/>
        <v>0</v>
      </c>
      <c r="O12" s="14">
        <f t="shared" si="2"/>
        <v>0</v>
      </c>
      <c r="P12" s="21">
        <f t="shared" si="2"/>
        <v>0</v>
      </c>
      <c r="Q12" s="14">
        <f t="shared" si="2"/>
        <v>0</v>
      </c>
      <c r="R12" s="21">
        <f t="shared" si="2"/>
        <v>0</v>
      </c>
      <c r="S12" s="14">
        <f t="shared" si="2"/>
        <v>0</v>
      </c>
      <c r="T12" s="21">
        <f t="shared" si="2"/>
        <v>0</v>
      </c>
      <c r="U12" s="14">
        <f t="shared" si="2"/>
        <v>0</v>
      </c>
      <c r="V12" s="21">
        <f t="shared" si="2"/>
        <v>0</v>
      </c>
      <c r="W12" s="14">
        <f t="shared" si="2"/>
        <v>0</v>
      </c>
      <c r="X12" s="21">
        <f t="shared" si="2"/>
        <v>0</v>
      </c>
      <c r="Y12" s="14">
        <f t="shared" si="2"/>
        <v>0</v>
      </c>
      <c r="Z12" s="21">
        <f t="shared" si="2"/>
        <v>0</v>
      </c>
      <c r="AA12" s="14">
        <f t="shared" si="2"/>
        <v>0</v>
      </c>
      <c r="AB12" s="10">
        <f t="shared" si="2"/>
        <v>0.25280625862818551</v>
      </c>
    </row>
    <row r="13" spans="2:29" ht="24.95" customHeight="1" x14ac:dyDescent="0.3">
      <c r="B13" s="35" t="s">
        <v>16</v>
      </c>
      <c r="C13" s="36"/>
      <c r="D13" s="37"/>
      <c r="E13" s="15">
        <f>E4+E7+E10</f>
        <v>606065365.68358994</v>
      </c>
      <c r="F13" s="22">
        <f>E13</f>
        <v>606065365.68358994</v>
      </c>
      <c r="G13" s="15">
        <f t="shared" ref="G13:AA13" si="3">G4+G7+G10</f>
        <v>689419129.29930747</v>
      </c>
      <c r="H13" s="22">
        <f>F13+G13</f>
        <v>1295484494.9828973</v>
      </c>
      <c r="I13" s="15">
        <f t="shared" si="3"/>
        <v>801876380.22072351</v>
      </c>
      <c r="J13" s="22">
        <f>H13+I13</f>
        <v>2097360875.2036209</v>
      </c>
      <c r="K13" s="15">
        <f t="shared" si="3"/>
        <v>503781505.48314977</v>
      </c>
      <c r="L13" s="22">
        <f>J13+K13</f>
        <v>2601142380.6867704</v>
      </c>
      <c r="M13" s="15">
        <f t="shared" si="3"/>
        <v>309253011.19925177</v>
      </c>
      <c r="N13" s="22">
        <f>L13+M13</f>
        <v>2910395391.8860221</v>
      </c>
      <c r="O13" s="15">
        <f t="shared" si="3"/>
        <v>621660363.30440295</v>
      </c>
      <c r="P13" s="22">
        <f>N13+O13</f>
        <v>3532055755.1904249</v>
      </c>
      <c r="Q13" s="15">
        <f t="shared" si="3"/>
        <v>968332821.3573494</v>
      </c>
      <c r="R13" s="22">
        <f>P13+Q13</f>
        <v>4500388576.5477743</v>
      </c>
      <c r="S13" s="15">
        <f t="shared" si="3"/>
        <v>854861089.16047406</v>
      </c>
      <c r="T13" s="22">
        <f>R13+S13</f>
        <v>5355249665.7082481</v>
      </c>
      <c r="U13" s="15">
        <f t="shared" si="3"/>
        <v>410524876.87180841</v>
      </c>
      <c r="V13" s="22">
        <f>T13+U13</f>
        <v>5765774542.5800562</v>
      </c>
      <c r="W13" s="15">
        <f t="shared" si="3"/>
        <v>474958093.26467901</v>
      </c>
      <c r="X13" s="22">
        <f>V13+W13</f>
        <v>6240732635.8447351</v>
      </c>
      <c r="Y13" s="15">
        <f t="shared" si="3"/>
        <v>896468813.10533237</v>
      </c>
      <c r="Z13" s="22">
        <f>X13+Y13</f>
        <v>7137201448.9500675</v>
      </c>
      <c r="AA13" s="15">
        <f t="shared" si="3"/>
        <v>1052883718.4488633</v>
      </c>
      <c r="AB13" s="3">
        <f>E13+G13+I13+K13+M13+O13+Q13+S13+U13+W13+Y13+AA13</f>
        <v>8190085167.3989305</v>
      </c>
    </row>
    <row r="14" spans="2:29" ht="24.95" customHeight="1" x14ac:dyDescent="0.3">
      <c r="B14" s="33" t="s">
        <v>17</v>
      </c>
      <c r="C14" s="33"/>
      <c r="D14" s="34"/>
      <c r="E14" s="26">
        <f>E5+E8+E11</f>
        <v>614044688</v>
      </c>
      <c r="F14" s="27">
        <f>E14</f>
        <v>614044688</v>
      </c>
      <c r="G14" s="26">
        <f t="shared" ref="G14:AA14" si="4">G5+G8+G11</f>
        <v>1131470712</v>
      </c>
      <c r="H14" s="27">
        <f>F14+G14</f>
        <v>1745515400</v>
      </c>
      <c r="I14" s="26">
        <f>I5+I8+I11</f>
        <v>315529554</v>
      </c>
      <c r="J14" s="27">
        <f>H14+I14</f>
        <v>2061044954</v>
      </c>
      <c r="K14" s="26">
        <f t="shared" si="4"/>
        <v>0</v>
      </c>
      <c r="L14" s="27">
        <f>J14+K14</f>
        <v>2061044954</v>
      </c>
      <c r="M14" s="26">
        <f t="shared" si="4"/>
        <v>0</v>
      </c>
      <c r="N14" s="27">
        <f>L14+M14</f>
        <v>2061044954</v>
      </c>
      <c r="O14" s="26">
        <f t="shared" si="4"/>
        <v>0</v>
      </c>
      <c r="P14" s="27">
        <f>N14+O14</f>
        <v>2061044954</v>
      </c>
      <c r="Q14" s="26">
        <f t="shared" si="4"/>
        <v>0</v>
      </c>
      <c r="R14" s="27">
        <f>P14+Q14</f>
        <v>2061044954</v>
      </c>
      <c r="S14" s="26">
        <f t="shared" si="4"/>
        <v>0</v>
      </c>
      <c r="T14" s="27">
        <f>R14+S14</f>
        <v>2061044954</v>
      </c>
      <c r="U14" s="26">
        <f t="shared" si="4"/>
        <v>0</v>
      </c>
      <c r="V14" s="27">
        <f>T14+U14</f>
        <v>2061044954</v>
      </c>
      <c r="W14" s="26">
        <f t="shared" si="4"/>
        <v>0</v>
      </c>
      <c r="X14" s="27">
        <f>V14+W14</f>
        <v>2061044954</v>
      </c>
      <c r="Y14" s="26">
        <f t="shared" si="4"/>
        <v>0</v>
      </c>
      <c r="Z14" s="27">
        <f>X14+Y14</f>
        <v>2061044954</v>
      </c>
      <c r="AA14" s="26">
        <f t="shared" si="4"/>
        <v>0</v>
      </c>
      <c r="AB14" s="27">
        <f>Z14+AA14</f>
        <v>2061044954</v>
      </c>
    </row>
    <row r="15" spans="2:29" ht="20.100000000000001" customHeight="1" x14ac:dyDescent="0.3">
      <c r="B15" s="5"/>
      <c r="C15" s="5"/>
      <c r="D15" s="5"/>
      <c r="E15" s="10">
        <f>E14/E13</f>
        <v>1.0131657784262429</v>
      </c>
      <c r="F15" s="21">
        <f t="shared" ref="F15:AB15" si="5">F14/F13</f>
        <v>1.0131657784262429</v>
      </c>
      <c r="G15" s="14">
        <f t="shared" si="5"/>
        <v>1.6411942516738294</v>
      </c>
      <c r="H15" s="21">
        <f t="shared" si="5"/>
        <v>1.3473842464035388</v>
      </c>
      <c r="I15" s="14">
        <f t="shared" si="5"/>
        <v>0.39348902372351674</v>
      </c>
      <c r="J15" s="21">
        <f t="shared" si="5"/>
        <v>0.98268494390594785</v>
      </c>
      <c r="K15" s="14">
        <f t="shared" si="5"/>
        <v>0</v>
      </c>
      <c r="L15" s="21">
        <f t="shared" si="5"/>
        <v>0.79236145214620257</v>
      </c>
      <c r="M15" s="14">
        <f t="shared" si="5"/>
        <v>0</v>
      </c>
      <c r="N15" s="21">
        <f t="shared" si="5"/>
        <v>0.70816664970885002</v>
      </c>
      <c r="O15" s="14">
        <f t="shared" si="5"/>
        <v>0</v>
      </c>
      <c r="P15" s="21">
        <f t="shared" si="5"/>
        <v>0.58352560006201892</v>
      </c>
      <c r="Q15" s="14">
        <f t="shared" si="5"/>
        <v>0</v>
      </c>
      <c r="R15" s="21">
        <f t="shared" si="5"/>
        <v>0.45797044387243052</v>
      </c>
      <c r="S15" s="14">
        <f t="shared" si="5"/>
        <v>0</v>
      </c>
      <c r="T15" s="21">
        <f t="shared" si="5"/>
        <v>0.3848644008509397</v>
      </c>
      <c r="U15" s="14">
        <f t="shared" si="5"/>
        <v>0</v>
      </c>
      <c r="V15" s="21">
        <f t="shared" si="5"/>
        <v>0.3574619400705405</v>
      </c>
      <c r="W15" s="14">
        <f t="shared" si="5"/>
        <v>0</v>
      </c>
      <c r="X15" s="21">
        <f t="shared" si="5"/>
        <v>0.33025689037886824</v>
      </c>
      <c r="Y15" s="14">
        <f t="shared" si="5"/>
        <v>0</v>
      </c>
      <c r="Z15" s="21">
        <f t="shared" si="5"/>
        <v>0.28877494473736542</v>
      </c>
      <c r="AA15" s="14">
        <f t="shared" si="5"/>
        <v>0</v>
      </c>
      <c r="AB15" s="10">
        <f t="shared" si="5"/>
        <v>0.25165122362879683</v>
      </c>
    </row>
    <row r="16" spans="2:29" x14ac:dyDescent="0.3">
      <c r="E16" s="8"/>
      <c r="F16" s="8"/>
      <c r="G16" s="7"/>
      <c r="H16" s="7"/>
      <c r="AB16" s="4"/>
    </row>
    <row r="17" spans="5:10" x14ac:dyDescent="0.3">
      <c r="E17" s="8"/>
      <c r="F17" s="8"/>
      <c r="G17" s="8"/>
      <c r="H17" s="8"/>
      <c r="I17" s="7"/>
      <c r="J17" s="7"/>
    </row>
    <row r="18" spans="5:10" x14ac:dyDescent="0.3">
      <c r="E18" s="8"/>
      <c r="F18" s="8"/>
      <c r="I18" s="7"/>
      <c r="J18" s="7"/>
    </row>
  </sheetData>
  <mergeCells count="8">
    <mergeCell ref="B1:AB1"/>
    <mergeCell ref="B3:D3"/>
    <mergeCell ref="B14:D14"/>
    <mergeCell ref="C4:C5"/>
    <mergeCell ref="C7:C8"/>
    <mergeCell ref="C10:C11"/>
    <mergeCell ref="B13:D13"/>
    <mergeCell ref="B4:B12"/>
  </mergeCells>
  <phoneticPr fontId="2" type="noConversion"/>
  <pageMargins left="0.7" right="0.7" top="0.75" bottom="0.75" header="0.3" footer="0.3"/>
  <pageSetup paperSize="9" orientation="portrait" r:id="rId1"/>
  <ignoredErrors>
    <ignoredError sqref="F6:J14 M12:AB12 M14:AA14 M13:AA13 AB6:AB7 AB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매출 속성 (2)</vt:lpstr>
      <vt:lpstr>매출 속성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이근호</dc:creator>
  <cp:lastModifiedBy>최주원</cp:lastModifiedBy>
  <dcterms:created xsi:type="dcterms:W3CDTF">2025-04-02T09:04:40Z</dcterms:created>
  <dcterms:modified xsi:type="dcterms:W3CDTF">2026-03-16T00:32:58Z</dcterms:modified>
</cp:coreProperties>
</file>